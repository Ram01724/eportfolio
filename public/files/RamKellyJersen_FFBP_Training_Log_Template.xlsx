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0" documentId="11_B57FACD6584FED4B935C64EF6CBF01F7671CE654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FBP Training 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1" l="1"/>
  <c r="B19" i="1"/>
  <c r="B18" i="1"/>
  <c r="B17" i="1"/>
</calcChain>
</file>

<file path=xl/sharedStrings.xml><?xml version="1.0" encoding="utf-8"?>
<sst xmlns="http://schemas.openxmlformats.org/spreadsheetml/2006/main" count="103" uniqueCount="69">
  <si>
    <t>Run ID</t>
  </si>
  <si>
    <t>Date</t>
  </si>
  <si>
    <t>Dataset</t>
  </si>
  <si>
    <t>Input Features</t>
  </si>
  <si>
    <t>Hidden Layers</t>
  </si>
  <si>
    <t>Neurons per Layer</t>
  </si>
  <si>
    <t>Output Neurons</t>
  </si>
  <si>
    <t>Activation Function</t>
  </si>
  <si>
    <t>Learning Rate</t>
  </si>
  <si>
    <t>Optimizer</t>
  </si>
  <si>
    <t>Loss Function</t>
  </si>
  <si>
    <t>Epochs</t>
  </si>
  <si>
    <t>Batch Size</t>
  </si>
  <si>
    <t>Train Loss</t>
  </si>
  <si>
    <t>Validation Loss</t>
  </si>
  <si>
    <t>Train Accuracy (%)</t>
  </si>
  <si>
    <t>Validation Accuracy (%)</t>
  </si>
  <si>
    <t>Precision</t>
  </si>
  <si>
    <t>Recall</t>
  </si>
  <si>
    <t>F1-Score</t>
  </si>
  <si>
    <t>Training Time (min)</t>
  </si>
  <si>
    <t>Early Stopping Epoch</t>
  </si>
  <si>
    <t>Random Seed</t>
  </si>
  <si>
    <t>Status</t>
  </si>
  <si>
    <t>Notes</t>
  </si>
  <si>
    <t>EXP-01-KERAS-BASELINE</t>
  </si>
  <si>
    <t>2026-08-11</t>
  </si>
  <si>
    <t>PT-P1 v1 (160)</t>
  </si>
  <si>
    <t>ReLU / Softmax</t>
  </si>
  <si>
    <t>Adam</t>
  </si>
  <si>
    <t>Sparse Categorical Cross Entropy</t>
  </si>
  <si>
    <t>Completed</t>
  </si>
  <si>
    <t>[Overfitting] Default baseline. Train acc 100% vs val 70.83% = 29.17pt generalisation gap. dropout=0.1. embed_dim=32.</t>
  </si>
  <si>
    <t>EXP-02-UNDERFIT</t>
  </si>
  <si>
    <t>[Underfitting] Val loss 1.3826 vs ln(4)=1.3863 random-guess floor. All val samples predicted as one class. LR (not capacity) is the binding constraint: only 60 weight updates at step size 0.0001. dropout=0.0. embed_dim=32.</t>
  </si>
  <si>
    <t>EXP-03-OVERFIT</t>
  </si>
  <si>
    <t>[Severe Overfitting] Val loss 7.6743 = 5.5x the random-guess floor, yet accuracy equals EXP-01. Model is confidently wrong: 100% confidence on every held-out phrase. Val loss bottomed at epoch 2; 13 of 15 epochs were pure degradation. dropout=0.0. embed_dim=32.</t>
  </si>
  <si>
    <t>EXP-04-REGULARIZED</t>
  </si>
  <si>
    <t>[Overfitting] 4x dropout increase (0.1 to 0.4) still yields 100% train accuracy. Dropout sits after the dense layer and cannot regularise the Embedding, which holds 76.8% of all parameters. dropout=0.4. embed_dim=32.</t>
  </si>
  <si>
    <t>EXP-05A-OPTIMIZED</t>
  </si>
  <si>
    <t>[Overfitting] First run to break the 70.83% ceiling. Adds EarlyStopping(restore_best_weights=True). Matches PT-P1 exactly on the 10-phrase held-out set (F1 0.9095). dropout=0.3. embed_dim=16.</t>
  </si>
  <si>
    <t>EXP-05B-EXPANDED</t>
  </si>
  <si>
    <t>PT-P1 v2 expanded (240)</t>
  </si>
  <si>
    <t>[Overfitting] FAILED EXPERIMENT (retained as evidence). Added 80 adversarial samples AND cut max_vocab_size to 400. The truncation mapped the rare negative content words (tore, mildew, blisters) to &lt;UNK&gt;, deleting the only discriminative signal. Negative_Feedback F1 collapsed 0.60 to 0.29. dropout=0.3. embed_dim=16.</t>
  </si>
  <si>
    <t>EXP-05C-CHAMPION</t>
  </si>
  <si>
    <t>PT-P1 v3 final (368)</t>
  </si>
  <si>
    <t>[Mild Overfitting] CHAMPION MODEL. Controlled-vocabulary dataset cut content-word singletons from 82% to 25%. Restored max_vocab_size=1000. Scores 10/10 (F1 1.0000) on the identical held-out phrases where PT-P1 scored 9/10 (F1 0.9095). Test-split F1 0.8921. dropout=0.25. embed_dim=24.</t>
  </si>
  <si>
    <t>PT-P1 NO-CODE BENCHMARK (Machine Learning for Kids)</t>
  </si>
  <si>
    <t>Benchmark Accuracy</t>
  </si>
  <si>
    <t>Benchmark Weighted F1</t>
  </si>
  <si>
    <t>Measurement basis</t>
  </si>
  <si>
    <t>10 held-out test phrases (9 of 10 correct)</t>
  </si>
  <si>
    <t>Source</t>
  </si>
  <si>
    <t>PT-P1_Performance_Worksheet 'Test Log'; F1 computed from that confusion matrix (sklearn weighted average), as PT-P1 reported accuracy only.</t>
  </si>
  <si>
    <t>CHAMPION MODEL vs BENCHMARK</t>
  </si>
  <si>
    <t>Champion Run ID</t>
  </si>
  <si>
    <t>Champion Validation F1</t>
  </si>
  <si>
    <t>Delta vs PT-P1 F1 (validation split, 55 samples)</t>
  </si>
  <si>
    <t>Champion F1 on the SAME 10 held-out phrases</t>
  </si>
  <si>
    <t>Delta vs PT-P1 F1 (identical 10-phrase basis)</t>
  </si>
  <si>
    <t>Verdict</t>
  </si>
  <si>
    <t>Champion beats PT-P1 on the identical 10-phrase held-out set (10/10 vs 9/10). The validation split is a stricter, non-comparable basis: 55 stratified samples containing adversarial sarcasm pairs.</t>
  </si>
  <si>
    <t>NOTES ON METHOD</t>
  </si>
  <si>
    <t>1. Split: 70% train / 15% validation / 15% test, stratified by class, random_state=42.</t>
  </si>
  <si>
    <t>2. Input Features = max_len (20 token positions per sample), not a count of engineered features.</t>
  </si>
  <si>
    <t>3. Hidden Layers = 1 dense layer; the Embedding and GlobalAveragePooling1D layers perform automated feature extraction and are not counted as hidden layers.</t>
  </si>
  <si>
    <t>4. Train/Validation Loss are recorded at the best (restored) epoch when early stopping is active, not at the last epoch that happened to run.</t>
  </si>
  <si>
    <t>5. 'Early Stopping Epoch' = the epoch with the lowest validation loss, whose weights were restored.</t>
  </si>
  <si>
    <t>6. EXP-01 to EXP-05A use dataset v1 (160). EXP-05B uses v2 (240). EXP-05C uses v3 final (368).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</si>
</sst>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33" sqref="R33"/>
    </sheetView>
  </sheetViews>
  <sheetFormatPr defaultColWidth="8.7109375" defaultRowHeight="15" x14ac:dyDescent="0.25"/>
  <cols>
    <col min="1" max="1" width="24" customWidth="1"/>
    <col min="2" max="2" width="12" customWidth="1"/>
    <col min="3" max="3" width="24" customWidth="1"/>
    <col min="4" max="4" width="13" customWidth="1"/>
    <col min="5" max="5" width="12" customWidth="1"/>
    <col min="6" max="6" width="15" customWidth="1"/>
    <col min="7" max="7" width="13" customWidth="1"/>
    <col min="8" max="8" width="17" customWidth="1"/>
    <col min="9" max="9" width="12" customWidth="1"/>
    <col min="10" max="10" width="10" customWidth="1"/>
    <col min="11" max="11" width="26" customWidth="1"/>
    <col min="12" max="12" width="9" customWidth="1"/>
    <col min="13" max="13" width="10" customWidth="1"/>
    <col min="14" max="14" width="11" customWidth="1"/>
    <col min="15" max="15" width="14" customWidth="1"/>
    <col min="16" max="16" width="15" customWidth="1"/>
    <col min="17" max="17" width="17" customWidth="1"/>
    <col min="18" max="18" width="10" customWidth="1"/>
    <col min="19" max="19" width="9" customWidth="1"/>
    <col min="20" max="20" width="10" customWidth="1"/>
    <col min="21" max="21" width="15" customWidth="1"/>
    <col min="22" max="22" width="16" customWidth="1"/>
    <col min="23" max="23" width="12" customWidth="1"/>
    <col min="24" max="24" width="11" customWidth="1"/>
    <col min="25" max="25" width="70" customWidth="1"/>
  </cols>
  <sheetData>
    <row r="1" spans="1:25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60" customHeight="1" x14ac:dyDescent="0.25">
      <c r="A2" s="2" t="s">
        <v>25</v>
      </c>
      <c r="B2" s="3" t="s">
        <v>26</v>
      </c>
      <c r="C2" s="2" t="s">
        <v>27</v>
      </c>
      <c r="D2" s="3">
        <v>20</v>
      </c>
      <c r="E2" s="3">
        <v>1</v>
      </c>
      <c r="F2" s="3">
        <v>64</v>
      </c>
      <c r="G2" s="3">
        <v>4</v>
      </c>
      <c r="H2" s="2" t="s">
        <v>28</v>
      </c>
      <c r="I2" s="4">
        <v>5.0000000000000001E-3</v>
      </c>
      <c r="J2" s="2" t="s">
        <v>29</v>
      </c>
      <c r="K2" s="2" t="s">
        <v>30</v>
      </c>
      <c r="L2" s="3">
        <v>15</v>
      </c>
      <c r="M2" s="3">
        <v>32</v>
      </c>
      <c r="N2" s="4">
        <v>9.9000000000000008E-3</v>
      </c>
      <c r="O2" s="4">
        <v>0.872</v>
      </c>
      <c r="P2" s="5">
        <v>100</v>
      </c>
      <c r="Q2" s="5">
        <v>70.83</v>
      </c>
      <c r="R2" s="4">
        <v>0.7167</v>
      </c>
      <c r="S2" s="4">
        <v>0.70830000000000004</v>
      </c>
      <c r="T2" s="4">
        <v>0.7</v>
      </c>
      <c r="U2" s="5">
        <v>0.05</v>
      </c>
      <c r="V2" s="3">
        <v>10</v>
      </c>
      <c r="W2" s="3">
        <v>42</v>
      </c>
      <c r="X2" s="2" t="s">
        <v>31</v>
      </c>
      <c r="Y2" s="6" t="s">
        <v>32</v>
      </c>
    </row>
    <row r="3" spans="1:25" ht="60" customHeight="1" x14ac:dyDescent="0.25">
      <c r="A3" s="7" t="s">
        <v>33</v>
      </c>
      <c r="B3" s="3" t="s">
        <v>26</v>
      </c>
      <c r="C3" s="2" t="s">
        <v>27</v>
      </c>
      <c r="D3" s="3">
        <v>20</v>
      </c>
      <c r="E3" s="3">
        <v>1</v>
      </c>
      <c r="F3" s="3">
        <v>16</v>
      </c>
      <c r="G3" s="3">
        <v>4</v>
      </c>
      <c r="H3" s="2" t="s">
        <v>28</v>
      </c>
      <c r="I3" s="4">
        <v>1E-4</v>
      </c>
      <c r="J3" s="2" t="s">
        <v>29</v>
      </c>
      <c r="K3" s="2" t="s">
        <v>30</v>
      </c>
      <c r="L3" s="3">
        <v>15</v>
      </c>
      <c r="M3" s="3">
        <v>32</v>
      </c>
      <c r="N3" s="4">
        <v>1.3754</v>
      </c>
      <c r="O3" s="4">
        <v>1.3826000000000001</v>
      </c>
      <c r="P3" s="5">
        <v>56.25</v>
      </c>
      <c r="Q3" s="5">
        <v>25</v>
      </c>
      <c r="R3" s="4">
        <v>6.25E-2</v>
      </c>
      <c r="S3" s="4">
        <v>0.25</v>
      </c>
      <c r="T3" s="4">
        <v>0.1</v>
      </c>
      <c r="U3" s="5">
        <v>0.18</v>
      </c>
      <c r="V3" s="3">
        <v>15</v>
      </c>
      <c r="W3" s="3">
        <v>42</v>
      </c>
      <c r="X3" s="2" t="s">
        <v>31</v>
      </c>
      <c r="Y3" s="6" t="s">
        <v>34</v>
      </c>
    </row>
    <row r="4" spans="1:25" ht="60" customHeight="1" x14ac:dyDescent="0.25">
      <c r="A4" s="2" t="s">
        <v>35</v>
      </c>
      <c r="B4" s="3" t="s">
        <v>26</v>
      </c>
      <c r="C4" s="2" t="s">
        <v>27</v>
      </c>
      <c r="D4" s="3">
        <v>20</v>
      </c>
      <c r="E4" s="3">
        <v>1</v>
      </c>
      <c r="F4" s="3">
        <v>256</v>
      </c>
      <c r="G4" s="3">
        <v>4</v>
      </c>
      <c r="H4" s="2" t="s">
        <v>28</v>
      </c>
      <c r="I4" s="4">
        <v>0.05</v>
      </c>
      <c r="J4" s="2" t="s">
        <v>29</v>
      </c>
      <c r="K4" s="2" t="s">
        <v>30</v>
      </c>
      <c r="L4" s="3">
        <v>15</v>
      </c>
      <c r="M4" s="3">
        <v>32</v>
      </c>
      <c r="N4" s="4">
        <v>0</v>
      </c>
      <c r="O4" s="4">
        <v>7.6742999999999997</v>
      </c>
      <c r="P4" s="5">
        <v>100</v>
      </c>
      <c r="Q4" s="5">
        <v>70.83</v>
      </c>
      <c r="R4" s="4">
        <v>0.70830000000000004</v>
      </c>
      <c r="S4" s="4">
        <v>0.70830000000000004</v>
      </c>
      <c r="T4" s="4">
        <v>0.6754</v>
      </c>
      <c r="U4" s="5">
        <v>0.16</v>
      </c>
      <c r="V4" s="3">
        <v>2</v>
      </c>
      <c r="W4" s="3">
        <v>42</v>
      </c>
      <c r="X4" s="2" t="s">
        <v>31</v>
      </c>
      <c r="Y4" s="6" t="s">
        <v>36</v>
      </c>
    </row>
    <row r="5" spans="1:25" ht="60" customHeight="1" x14ac:dyDescent="0.25">
      <c r="A5" s="2" t="s">
        <v>37</v>
      </c>
      <c r="B5" s="3" t="s">
        <v>26</v>
      </c>
      <c r="C5" s="2" t="s">
        <v>27</v>
      </c>
      <c r="D5" s="3">
        <v>20</v>
      </c>
      <c r="E5" s="3">
        <v>1</v>
      </c>
      <c r="F5" s="3">
        <v>128</v>
      </c>
      <c r="G5" s="3">
        <v>4</v>
      </c>
      <c r="H5" s="2" t="s">
        <v>28</v>
      </c>
      <c r="I5" s="4">
        <v>5.0000000000000001E-3</v>
      </c>
      <c r="J5" s="2" t="s">
        <v>29</v>
      </c>
      <c r="K5" s="2" t="s">
        <v>30</v>
      </c>
      <c r="L5" s="3">
        <v>15</v>
      </c>
      <c r="M5" s="3">
        <v>32</v>
      </c>
      <c r="N5" s="4">
        <v>1.1299999999999999E-2</v>
      </c>
      <c r="O5" s="4">
        <v>1.0111000000000001</v>
      </c>
      <c r="P5" s="5">
        <v>100</v>
      </c>
      <c r="Q5" s="5">
        <v>70.83</v>
      </c>
      <c r="R5" s="4">
        <v>0.71250000000000002</v>
      </c>
      <c r="S5" s="4">
        <v>0.70830000000000004</v>
      </c>
      <c r="T5" s="4">
        <v>0.70289999999999997</v>
      </c>
      <c r="U5" s="5">
        <v>0.12</v>
      </c>
      <c r="V5" s="3">
        <v>9</v>
      </c>
      <c r="W5" s="3">
        <v>42</v>
      </c>
      <c r="X5" s="2" t="s">
        <v>31</v>
      </c>
      <c r="Y5" s="6" t="s">
        <v>38</v>
      </c>
    </row>
    <row r="6" spans="1:25" ht="60" customHeight="1" x14ac:dyDescent="0.25">
      <c r="A6" s="2" t="s">
        <v>39</v>
      </c>
      <c r="B6" s="3" t="s">
        <v>26</v>
      </c>
      <c r="C6" s="2" t="s">
        <v>27</v>
      </c>
      <c r="D6" s="3">
        <v>20</v>
      </c>
      <c r="E6" s="3">
        <v>1</v>
      </c>
      <c r="F6" s="3">
        <v>64</v>
      </c>
      <c r="G6" s="3">
        <v>4</v>
      </c>
      <c r="H6" s="2" t="s">
        <v>28</v>
      </c>
      <c r="I6" s="4">
        <v>3.0000000000000001E-3</v>
      </c>
      <c r="J6" s="2" t="s">
        <v>29</v>
      </c>
      <c r="K6" s="2" t="s">
        <v>30</v>
      </c>
      <c r="L6" s="3">
        <v>60</v>
      </c>
      <c r="M6" s="3">
        <v>16</v>
      </c>
      <c r="N6" s="4">
        <v>0.1236</v>
      </c>
      <c r="O6" s="4">
        <v>0.7792</v>
      </c>
      <c r="P6" s="5">
        <v>100</v>
      </c>
      <c r="Q6" s="5">
        <v>75</v>
      </c>
      <c r="R6" s="4">
        <v>0.76790000000000003</v>
      </c>
      <c r="S6" s="4">
        <v>0.75</v>
      </c>
      <c r="T6" s="4">
        <v>0.74539999999999995</v>
      </c>
      <c r="U6" s="5">
        <v>0.22</v>
      </c>
      <c r="V6" s="3">
        <v>15</v>
      </c>
      <c r="W6" s="3">
        <v>42</v>
      </c>
      <c r="X6" s="2" t="s">
        <v>31</v>
      </c>
      <c r="Y6" s="6" t="s">
        <v>40</v>
      </c>
    </row>
    <row r="7" spans="1:25" ht="60" customHeight="1" x14ac:dyDescent="0.25">
      <c r="A7" s="8" t="s">
        <v>41</v>
      </c>
      <c r="B7" s="3" t="s">
        <v>26</v>
      </c>
      <c r="C7" s="2" t="s">
        <v>42</v>
      </c>
      <c r="D7" s="3">
        <v>20</v>
      </c>
      <c r="E7" s="3">
        <v>1</v>
      </c>
      <c r="F7" s="3">
        <v>48</v>
      </c>
      <c r="G7" s="3">
        <v>4</v>
      </c>
      <c r="H7" s="2" t="s">
        <v>28</v>
      </c>
      <c r="I7" s="4">
        <v>3.0000000000000001E-3</v>
      </c>
      <c r="J7" s="2" t="s">
        <v>29</v>
      </c>
      <c r="K7" s="2" t="s">
        <v>30</v>
      </c>
      <c r="L7" s="3">
        <v>80</v>
      </c>
      <c r="M7" s="3">
        <v>16</v>
      </c>
      <c r="N7" s="4">
        <v>0.27760000000000001</v>
      </c>
      <c r="O7" s="4">
        <v>0.66590000000000005</v>
      </c>
      <c r="P7" s="5">
        <v>95.83</v>
      </c>
      <c r="Q7" s="5">
        <v>69.44</v>
      </c>
      <c r="R7" s="4">
        <v>0.69289999999999996</v>
      </c>
      <c r="S7" s="4">
        <v>0.69440000000000002</v>
      </c>
      <c r="T7" s="4">
        <v>0.67459999999999998</v>
      </c>
      <c r="U7" s="5">
        <v>0.2</v>
      </c>
      <c r="V7" s="3">
        <v>11</v>
      </c>
      <c r="W7" s="3">
        <v>42</v>
      </c>
      <c r="X7" s="2" t="s">
        <v>31</v>
      </c>
      <c r="Y7" s="6" t="s">
        <v>43</v>
      </c>
    </row>
    <row r="8" spans="1:25" ht="60" customHeight="1" x14ac:dyDescent="0.25">
      <c r="A8" s="9" t="s">
        <v>44</v>
      </c>
      <c r="B8" s="3" t="s">
        <v>26</v>
      </c>
      <c r="C8" s="2" t="s">
        <v>45</v>
      </c>
      <c r="D8" s="3">
        <v>20</v>
      </c>
      <c r="E8" s="3">
        <v>1</v>
      </c>
      <c r="F8" s="3">
        <v>64</v>
      </c>
      <c r="G8" s="3">
        <v>4</v>
      </c>
      <c r="H8" s="2" t="s">
        <v>28</v>
      </c>
      <c r="I8" s="4">
        <v>1E-3</v>
      </c>
      <c r="J8" s="2" t="s">
        <v>29</v>
      </c>
      <c r="K8" s="2" t="s">
        <v>30</v>
      </c>
      <c r="L8" s="3">
        <v>120</v>
      </c>
      <c r="M8" s="3">
        <v>32</v>
      </c>
      <c r="N8" s="4">
        <v>8.6900000000000005E-2</v>
      </c>
      <c r="O8" s="4">
        <v>0.45369999999999999</v>
      </c>
      <c r="P8" s="5">
        <v>100</v>
      </c>
      <c r="Q8" s="5">
        <v>85.45</v>
      </c>
      <c r="R8" s="4">
        <v>0.86029999999999995</v>
      </c>
      <c r="S8" s="4">
        <v>0.85450000000000004</v>
      </c>
      <c r="T8" s="10">
        <v>0.85519999999999996</v>
      </c>
      <c r="U8" s="5">
        <v>0.23</v>
      </c>
      <c r="V8" s="3">
        <v>26</v>
      </c>
      <c r="W8" s="3">
        <v>42</v>
      </c>
      <c r="X8" s="2" t="s">
        <v>31</v>
      </c>
      <c r="Y8" s="6" t="s">
        <v>46</v>
      </c>
    </row>
    <row r="10" spans="1:25" ht="38.25" x14ac:dyDescent="0.25">
      <c r="A10" s="11" t="s">
        <v>47</v>
      </c>
      <c r="B10" s="12"/>
    </row>
    <row r="11" spans="1:25" x14ac:dyDescent="0.25">
      <c r="A11" s="13" t="s">
        <v>48</v>
      </c>
      <c r="B11" s="14">
        <v>0.9</v>
      </c>
    </row>
    <row r="12" spans="1:25" x14ac:dyDescent="0.25">
      <c r="A12" s="13" t="s">
        <v>49</v>
      </c>
      <c r="B12" s="15">
        <v>0.90949999999999998</v>
      </c>
    </row>
    <row r="13" spans="1:25" ht="51" x14ac:dyDescent="0.25">
      <c r="A13" s="13" t="s">
        <v>50</v>
      </c>
      <c r="B13" s="13" t="s">
        <v>51</v>
      </c>
    </row>
    <row r="14" spans="1:25" ht="204" x14ac:dyDescent="0.25">
      <c r="A14" s="13" t="s">
        <v>52</v>
      </c>
      <c r="B14" s="13" t="s">
        <v>53</v>
      </c>
    </row>
    <row r="15" spans="1:25" x14ac:dyDescent="0.25">
      <c r="A15" s="12"/>
      <c r="B15" s="12"/>
    </row>
    <row r="16" spans="1:25" ht="25.5" x14ac:dyDescent="0.25">
      <c r="A16" s="11" t="s">
        <v>54</v>
      </c>
      <c r="B16" s="12"/>
    </row>
    <row r="17" spans="1:2" ht="25.5" x14ac:dyDescent="0.25">
      <c r="A17" s="13" t="s">
        <v>55</v>
      </c>
      <c r="B17" s="13" t="str">
        <f>A8</f>
        <v>EXP-05C-CHAMPION</v>
      </c>
    </row>
    <row r="18" spans="1:2" x14ac:dyDescent="0.25">
      <c r="A18" s="13" t="s">
        <v>56</v>
      </c>
      <c r="B18" s="15">
        <f>T8</f>
        <v>0.85519999999999996</v>
      </c>
    </row>
    <row r="19" spans="1:2" ht="38.25" x14ac:dyDescent="0.25">
      <c r="A19" s="13" t="s">
        <v>57</v>
      </c>
      <c r="B19" s="13">
        <f>T8-B12</f>
        <v>-5.4300000000000015E-2</v>
      </c>
    </row>
    <row r="20" spans="1:2" ht="25.5" x14ac:dyDescent="0.25">
      <c r="A20" s="13" t="s">
        <v>58</v>
      </c>
      <c r="B20" s="15">
        <v>1</v>
      </c>
    </row>
    <row r="21" spans="1:2" ht="25.5" x14ac:dyDescent="0.25">
      <c r="A21" s="13" t="s">
        <v>59</v>
      </c>
      <c r="B21" s="15">
        <f>B20-B12</f>
        <v>9.0500000000000025E-2</v>
      </c>
    </row>
    <row r="22" spans="1:2" ht="242.25" x14ac:dyDescent="0.25">
      <c r="A22" s="13" t="s">
        <v>60</v>
      </c>
      <c r="B22" s="13" t="s">
        <v>61</v>
      </c>
    </row>
    <row r="23" spans="1:2" x14ac:dyDescent="0.25">
      <c r="A23" s="12"/>
      <c r="B23" s="12"/>
    </row>
    <row r="24" spans="1:2" x14ac:dyDescent="0.25">
      <c r="A24" s="12"/>
      <c r="B24" s="12"/>
    </row>
    <row r="25" spans="1:2" x14ac:dyDescent="0.25">
      <c r="A25" s="11" t="s">
        <v>62</v>
      </c>
      <c r="B25" s="12"/>
    </row>
    <row r="26" spans="1:2" ht="51" x14ac:dyDescent="0.25">
      <c r="A26" s="13" t="s">
        <v>63</v>
      </c>
      <c r="B26" s="12"/>
    </row>
    <row r="27" spans="1:2" ht="63.75" x14ac:dyDescent="0.25">
      <c r="A27" s="13" t="s">
        <v>64</v>
      </c>
      <c r="B27" s="12"/>
    </row>
    <row r="28" spans="1:2" ht="102" x14ac:dyDescent="0.25">
      <c r="A28" s="13" t="s">
        <v>65</v>
      </c>
      <c r="B28" s="12"/>
    </row>
    <row r="29" spans="1:2" ht="76.5" x14ac:dyDescent="0.25">
      <c r="A29" s="13" t="s">
        <v>66</v>
      </c>
      <c r="B29" s="12"/>
    </row>
    <row r="30" spans="1:2" ht="51" x14ac:dyDescent="0.25">
      <c r="A30" s="13" t="s">
        <v>67</v>
      </c>
      <c r="B30" s="12"/>
    </row>
    <row r="31" spans="1:2" ht="51" x14ac:dyDescent="0.25">
      <c r="A31" s="13" t="s">
        <v>68</v>
      </c>
      <c r="B31" s="12"/>
    </row>
  </sheetData>
  <conditionalFormatting sqref="Q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FFBP Training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 Kelly Jersen Leliza</cp:lastModifiedBy>
  <cp:revision>0</cp:revision>
  <dcterms:created xsi:type="dcterms:W3CDTF">2026-08-02T12:50:00Z</dcterms:created>
  <dcterms:modified xsi:type="dcterms:W3CDTF">2026-08-11T11:54:48Z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0x01010047E56E1D33E1954A84570C0EA183705E</vt:lpwstr>
  </property>
</Properties>
</file>