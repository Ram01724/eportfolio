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8_{D7722AAA-CA43-4038-9C67-523830908F70}" xr6:coauthVersionLast="47" xr6:coauthVersionMax="47" xr10:uidLastSave="{00000000-0000-0000-0000-000000000000}"/>
  <bookViews>
    <workbookView xWindow="-120" yWindow="-120" windowWidth="29040" windowHeight="15840" xr2:uid="{CC36622C-4E60-49F8-984A-C5FB44CDFFC2}"/>
  </bookViews>
  <sheets>
    <sheet name="Test Log" sheetId="1" r:id="rId1"/>
    <sheet name="Accuracy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D6" i="2"/>
  <c r="C6" i="2"/>
  <c r="B6" i="2"/>
  <c r="E3" i="2"/>
  <c r="E4" i="2"/>
  <c r="E5" i="2"/>
  <c r="E2" i="2"/>
  <c r="D3" i="2"/>
  <c r="D4" i="2"/>
  <c r="D5" i="2"/>
  <c r="D2" i="2"/>
  <c r="C5" i="2"/>
  <c r="C4" i="2"/>
  <c r="C3" i="2"/>
  <c r="C2" i="2"/>
  <c r="B5" i="2"/>
  <c r="B4" i="2"/>
  <c r="B3" i="2"/>
  <c r="B2" i="2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<sst xmlns="http://schemas.openxmlformats.org/spreadsheetml/2006/main" count="46" uniqueCount="26">
  <si>
    <t>#</t>
  </si>
  <si>
    <t>Test Phrase</t>
  </si>
  <si>
    <t xml:space="preserve">	Expected Class</t>
  </si>
  <si>
    <t>Predicted Class</t>
  </si>
  <si>
    <t>Confidence %</t>
  </si>
  <si>
    <t xml:space="preserve">	Correct?</t>
  </si>
  <si>
    <t>This sweater is amazing, I get compliments every time I wear it.</t>
  </si>
  <si>
    <t>Positive_Feedback</t>
  </si>
  <si>
    <t>The pants ripped after only two wears, total waste of money.</t>
  </si>
  <si>
    <t>Negative_Feedback</t>
  </si>
  <si>
    <t>I was charged twice for my order, please refund me now.</t>
  </si>
  <si>
    <t>Urgent_Support</t>
  </si>
  <si>
    <t>Oh great, another shirt that shrank in the wash.</t>
  </si>
  <si>
    <t xml:space="preserve">Wow, love how my package still hasn't arrived after three weeks.	</t>
  </si>
  <si>
    <t>Fantastic, the zipper broke on day one, just fantastic.</t>
  </si>
  <si>
    <t>Do you have this dress in a size large?</t>
  </si>
  <si>
    <t>General_Inquiry</t>
  </si>
  <si>
    <t>What are your store hours on weekends?</t>
  </si>
  <si>
    <t>Can I use two discount codes on one order?</t>
  </si>
  <si>
    <t>Do you ship internationally?</t>
  </si>
  <si>
    <t>Category</t>
  </si>
  <si>
    <t># Expected</t>
  </si>
  <si>
    <t># Correct</t>
  </si>
  <si>
    <t>#Missclassified</t>
  </si>
  <si>
    <t>Acccuracy (%)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</si>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</sst>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B54F-6431-49D1-8568-75163D30DDDD}">
  <dimension ref="A1:F11"/>
  <sheetViews>
    <sheetView tabSelected="1" topLeftCell="B1" zoomScaleNormal="100" workbookViewId="0">
      <selection activeCell="B19" sqref="B19"/>
    </sheetView>
  </sheetViews>
  <sheetFormatPr defaultRowHeight="15" x14ac:dyDescent="0.25"/>
  <cols>
    <col min="1" max="1" width="9.28515625" style="1" customWidth="1"/>
    <col min="2" max="2" width="57.42578125" style="5" customWidth="1"/>
    <col min="3" max="3" width="18.28515625" style="5" customWidth="1"/>
    <col min="4" max="4" width="18.42578125" style="5" customWidth="1"/>
    <col min="5" max="5" width="16.7109375" style="1" customWidth="1"/>
    <col min="6" max="6" width="19" style="5" customWidth="1"/>
  </cols>
  <sheetData>
    <row r="1" spans="1:6" s="3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</row>
    <row r="2" spans="1:6" x14ac:dyDescent="0.25">
      <c r="A2" s="1">
        <v>1</v>
      </c>
      <c r="B2" s="5" t="s">
        <v>6</v>
      </c>
      <c r="C2" s="5" t="s">
        <v>7</v>
      </c>
      <c r="D2" s="5" t="s">
        <v>7</v>
      </c>
      <c r="E2" s="1">
        <v>84</v>
      </c>
      <c r="F2" s="5" t="str" cm="1">
        <f t="array" ref="F2:F11">IF(EXACT(C2:C11,D2:D11),"Yes","No")</f>
        <v>Yes</v>
      </c>
    </row>
    <row r="3" spans="1:6" x14ac:dyDescent="0.25">
      <c r="A3" s="1">
        <v>2</v>
      </c>
      <c r="B3" s="5" t="s">
        <v>8</v>
      </c>
      <c r="C3" s="5" t="s">
        <v>9</v>
      </c>
      <c r="D3" s="5" t="s">
        <v>9</v>
      </c>
      <c r="E3" s="1">
        <v>92</v>
      </c>
      <c r="F3" s="5" t="str">
        <v>Yes</v>
      </c>
    </row>
    <row r="4" spans="1:6" x14ac:dyDescent="0.25">
      <c r="A4" s="1">
        <v>3</v>
      </c>
      <c r="B4" s="5" t="s">
        <v>10</v>
      </c>
      <c r="C4" s="5" t="s">
        <v>11</v>
      </c>
      <c r="D4" s="5" t="s">
        <v>11</v>
      </c>
      <c r="E4" s="1">
        <v>95</v>
      </c>
      <c r="F4" s="5" t="str">
        <v>Yes</v>
      </c>
    </row>
    <row r="5" spans="1:6" x14ac:dyDescent="0.25">
      <c r="A5" s="1">
        <v>4</v>
      </c>
      <c r="B5" s="5" t="s">
        <v>12</v>
      </c>
      <c r="C5" s="5" t="s">
        <v>9</v>
      </c>
      <c r="D5" s="5" t="s">
        <v>9</v>
      </c>
      <c r="E5" s="1">
        <v>70</v>
      </c>
      <c r="F5" s="5" t="str">
        <v>Yes</v>
      </c>
    </row>
    <row r="6" spans="1:6" x14ac:dyDescent="0.25">
      <c r="A6" s="1">
        <v>5</v>
      </c>
      <c r="B6" s="5" t="s">
        <v>13</v>
      </c>
      <c r="C6" s="5" t="s">
        <v>9</v>
      </c>
      <c r="D6" s="5" t="s">
        <v>11</v>
      </c>
      <c r="E6" s="1">
        <v>79</v>
      </c>
      <c r="F6" s="5" t="str">
        <v>No</v>
      </c>
    </row>
    <row r="7" spans="1:6" x14ac:dyDescent="0.25">
      <c r="A7" s="1">
        <v>6</v>
      </c>
      <c r="B7" s="5" t="s">
        <v>14</v>
      </c>
      <c r="C7" s="5" t="s">
        <v>9</v>
      </c>
      <c r="D7" s="5" t="s">
        <v>9</v>
      </c>
      <c r="E7" s="1">
        <v>69</v>
      </c>
      <c r="F7" s="5" t="str">
        <v>Yes</v>
      </c>
    </row>
    <row r="8" spans="1:6" x14ac:dyDescent="0.25">
      <c r="A8" s="1">
        <v>7</v>
      </c>
      <c r="B8" s="5" t="s">
        <v>15</v>
      </c>
      <c r="C8" s="5" t="s">
        <v>16</v>
      </c>
      <c r="D8" s="5" t="s">
        <v>16</v>
      </c>
      <c r="E8" s="1">
        <v>100</v>
      </c>
      <c r="F8" s="5" t="str">
        <v>Yes</v>
      </c>
    </row>
    <row r="9" spans="1:6" x14ac:dyDescent="0.25">
      <c r="A9" s="1">
        <v>8</v>
      </c>
      <c r="B9" s="5" t="s">
        <v>17</v>
      </c>
      <c r="C9" s="5" t="s">
        <v>16</v>
      </c>
      <c r="D9" s="5" t="s">
        <v>16</v>
      </c>
      <c r="E9" s="1">
        <v>100</v>
      </c>
      <c r="F9" s="5" t="str">
        <v>Yes</v>
      </c>
    </row>
    <row r="10" spans="1:6" x14ac:dyDescent="0.25">
      <c r="A10" s="1">
        <v>9</v>
      </c>
      <c r="B10" s="5" t="s">
        <v>18</v>
      </c>
      <c r="C10" s="5" t="s">
        <v>16</v>
      </c>
      <c r="D10" s="5" t="s">
        <v>16</v>
      </c>
      <c r="E10" s="1">
        <v>100</v>
      </c>
      <c r="F10" s="5" t="str">
        <v>Yes</v>
      </c>
    </row>
    <row r="11" spans="1:6" x14ac:dyDescent="0.25">
      <c r="A11" s="1">
        <v>10</v>
      </c>
      <c r="B11" s="5" t="s">
        <v>19</v>
      </c>
      <c r="C11" s="5" t="s">
        <v>16</v>
      </c>
      <c r="D11" s="5" t="s">
        <v>16</v>
      </c>
      <c r="E11" s="1">
        <v>100</v>
      </c>
      <c r="F11" s="5" t="str">
        <v>Yes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BC62-23BF-463D-9E30-A61E7F491EFD}">
  <dimension ref="A1:E6"/>
  <sheetViews>
    <sheetView workbookViewId="0">
      <selection activeCell="D13" sqref="D13"/>
    </sheetView>
  </sheetViews>
  <sheetFormatPr defaultRowHeight="15" x14ac:dyDescent="0.25"/>
  <cols>
    <col min="1" max="1" width="18.7109375" style="1" customWidth="1"/>
    <col min="2" max="2" width="14.5703125" style="5" customWidth="1"/>
    <col min="3" max="3" width="12.140625" style="1" customWidth="1"/>
    <col min="4" max="4" width="17.140625" style="1" customWidth="1"/>
    <col min="5" max="5" width="17.5703125" style="1" customWidth="1"/>
  </cols>
  <sheetData>
    <row r="1" spans="1:5" s="4" customFormat="1" x14ac:dyDescent="0.25">
      <c r="A1" s="2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25">
      <c r="A2" s="1" t="s">
        <v>7</v>
      </c>
      <c r="B2" s="5">
        <f>COUNTIF('Test Log'!C:C,A2)</f>
        <v>1</v>
      </c>
      <c r="C2" s="1">
        <f>COUNTIFS('Test Log'!C:C,A2,'Test Log'!F:F,"Yes")</f>
        <v>1</v>
      </c>
      <c r="D2" s="1">
        <f>B2-C2</f>
        <v>0</v>
      </c>
      <c r="E2" s="6">
        <f>IFERROR(C2/B2,0)</f>
        <v>1</v>
      </c>
    </row>
    <row r="3" spans="1:5" x14ac:dyDescent="0.25">
      <c r="A3" s="1" t="s">
        <v>9</v>
      </c>
      <c r="B3" s="5">
        <f>COUNTIF('Test Log'!C:C,A3)</f>
        <v>4</v>
      </c>
      <c r="C3" s="1">
        <f>COUNTIFS('Test Log'!C:C,A3,'Test Log'!F:F,"Yes")</f>
        <v>3</v>
      </c>
      <c r="D3" s="1">
        <f t="shared" ref="D3:D5" si="0">B3-C3</f>
        <v>1</v>
      </c>
      <c r="E3" s="6">
        <f t="shared" ref="E3:E5" si="1">IFERROR(C3/B3,0)</f>
        <v>0.75</v>
      </c>
    </row>
    <row r="4" spans="1:5" x14ac:dyDescent="0.25">
      <c r="A4" s="1" t="s">
        <v>11</v>
      </c>
      <c r="B4" s="5">
        <f>COUNTIF('Test Log'!C:C,A4)</f>
        <v>1</v>
      </c>
      <c r="C4" s="1">
        <f>COUNTIFS('Test Log'!C:C,A4,'Test Log'!F:F,"Yes")</f>
        <v>1</v>
      </c>
      <c r="D4" s="1">
        <f t="shared" si="0"/>
        <v>0</v>
      </c>
      <c r="E4" s="6">
        <f t="shared" si="1"/>
        <v>1</v>
      </c>
    </row>
    <row r="5" spans="1:5" x14ac:dyDescent="0.25">
      <c r="A5" s="1" t="s">
        <v>16</v>
      </c>
      <c r="B5" s="5">
        <f>COUNTIF('Test Log'!C:C,A5)</f>
        <v>4</v>
      </c>
      <c r="C5" s="1">
        <f>COUNTIFS('Test Log'!C:C,A5,'Test Log'!F:F,"Yes")</f>
        <v>4</v>
      </c>
      <c r="D5" s="1">
        <f t="shared" si="0"/>
        <v>0</v>
      </c>
      <c r="E5" s="6">
        <f t="shared" si="1"/>
        <v>1</v>
      </c>
    </row>
    <row r="6" spans="1:5" s="3" customFormat="1" x14ac:dyDescent="0.25">
      <c r="A6" s="2" t="s">
        <v>25</v>
      </c>
      <c r="B6" s="4">
        <f>SUM(B2:B5)</f>
        <v>10</v>
      </c>
      <c r="C6" s="2">
        <f>SUM(C2:C5)</f>
        <v>9</v>
      </c>
      <c r="D6" s="2">
        <f>SUM(D2:D5)</f>
        <v>1</v>
      </c>
      <c r="E6" s="7">
        <f>IFERROR(C6 / B6,0)</f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9c526a-da6d-4f48-a241-1a33f4f8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A420611F17645A5607444BFF4CBAB" ma:contentTypeVersion="11" ma:contentTypeDescription="Create a new document." ma:contentTypeScope="" ma:versionID="46c4fdf76c6087884d0d3eeef438629c">
  <xsd:schema xmlns:xsd="http://www.w3.org/2001/XMLSchema" xmlns:xs="http://www.w3.org/2001/XMLSchema" xmlns:p="http://schemas.microsoft.com/office/2006/metadata/properties" xmlns:ns3="669c526a-da6d-4f48-a241-1a33f4f89ead" targetNamespace="http://schemas.microsoft.com/office/2006/metadata/properties" ma:root="true" ma:fieldsID="395821e3842d012ceca0bc59b7dcf898" ns3:_="">
    <xsd:import namespace="669c526a-da6d-4f48-a241-1a33f4f89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c526a-da6d-4f48-a241-1a33f4f8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DF234-4BAE-4198-A4E2-470B12D54173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669c526a-da6d-4f48-a241-1a33f4f89ea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048DE07-5CC0-4649-A468-77F2F20D03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195E6-4BC4-4355-9EC0-62577C568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9c526a-da6d-4f48-a241-1a33f4f89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Accuracy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Kelly Jersen Leliza</dc:creator>
  <cp:lastModifiedBy>Ram Kelly Jersen Leliza</cp:lastModifiedBy>
  <dcterms:created xsi:type="dcterms:W3CDTF">2026-07-27T11:09:05Z</dcterms:created>
  <dcterms:modified xsi:type="dcterms:W3CDTF">2026-07-28T12:09:27Z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0x010100386A420611F17645A5607444BFF4CBAB</vt:lpwstr>
  </property>
</Properties>
</file>